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abb07158f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Dashboard" sheetId="1" r:id="Rb1c35f41074b4fe0"/>
    <x:sheet xmlns:r="http://schemas.openxmlformats.org/officeDocument/2006/relationships" name="Reward Economics" sheetId="2" r:id="Rca70976c8f974e7f"/>
    <x:sheet xmlns:r="http://schemas.openxmlformats.org/officeDocument/2006/relationships" name="Claim Ledger" sheetId="3" r:id="Rd3129dc2649f4e0b"/>
    <x:sheet xmlns:r="http://schemas.openxmlformats.org/officeDocument/2006/relationships" name="Asset Matrix" sheetId="4" r:id="R8a54fd034c15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"/>
    <x:numFmt numFmtId="201" formatCode="0.0%"/>
    <x:numFmt numFmtId="202" formatCode="0%"/>
    <x:numFmt numFmtId="203" formatCode="&quot;$&quot;#,##0.00"/>
  </x:numFmts>
  <x:fonts count="8">
    <x:font>
      <x:sz val="11"/>
      <x:name val="Carlito"/>
    </x:font>
    <x:font>
      <x:b/>
      <x:sz val="20"/>
      <x:color rgb="FFF5F1E8"/>
      <x:name val="Carlito"/>
    </x:font>
    <x:font>
      <x:i/>
      <x:sz val="10"/>
      <x:color rgb="FFD9E6E9"/>
      <x:name val="Carlito"/>
    </x:font>
    <x:font>
      <x:sz val="11"/>
      <x:color rgb="FF09131E"/>
      <x:name val="Carlito"/>
    </x:font>
    <x:font>
      <x:b/>
      <x:sz val="11"/>
      <x:color rgb="FF17384A"/>
      <x:name val="Carlito"/>
    </x:font>
    <x:font>
      <x:b/>
      <x:sz val="10"/>
      <x:color rgb="FFFFFFFF"/>
      <x:name val="Carlito"/>
    </x:font>
    <x:font>
      <x:sz val="9"/>
      <x:color rgb="FF09131E"/>
      <x:name val="Carlito"/>
    </x:font>
    <x:font>
      <x:sz val="9"/>
      <x:color rgb="FF1261A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9131E"/>
      </x:patternFill>
    </x:fill>
    <x:fill>
      <x:patternFill patternType="solid">
        <x:fgColor rgb="FF102434"/>
      </x:patternFill>
    </x:fill>
    <x:fill>
      <x:patternFill patternType="solid">
        <x:fgColor rgb="FFF5F1E8"/>
      </x:patternFill>
    </x:fill>
    <x:fill>
      <x:patternFill patternType="solid">
        <x:fgColor rgb="FF17384A"/>
      </x:patternFill>
    </x:fill>
  </x:fills>
  <x:borders count="2">
    <x:border/>
    <x:border>
      <x:left style="thin">
        <x:color rgb="FFB9CDD2"/>
      </x:left>
      <x:right style="thin">
        <x:color rgb="FFB9CDD2"/>
      </x:right>
      <x:top style="thin">
        <x:color rgb="FFB9CDD2"/>
      </x:top>
      <x:bottom style="thin">
        <x:color rgb="FFB9CDD2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202" fontId="6" fillId="4" borderId="1" xfId="0" applyNumberFormat="1" applyFont="1" applyFill="1" applyBorder="1" applyAlignment="1">
      <x:alignment vertical="top" wrapText="1"/>
    </x:xf>
    <x:xf numFmtId="200" fontId="6" fillId="4" borderId="1" xfId="0" applyNumberFormat="1" applyFont="1" applyFill="1" applyBorder="1" applyAlignment="1">
      <x:alignment vertical="top" wrapText="1"/>
    </x:xf>
    <x:xf numFmtId="203" fontId="6" fillId="4" borderId="1" xfId="0" applyNumberFormat="1" applyFont="1" applyFill="1" applyBorder="1" applyAlignment="1">
      <x:alignment vertical="top" wrapText="1"/>
    </x:xf>
    <x:xf numFmtId="203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13d211bcc4561" /><Relationship Type="http://schemas.openxmlformats.org/officeDocument/2006/relationships/theme" Target="/xl/theme/theme1.xml" Id="Rb8b98848faa94f4e" /><Relationship Type="http://schemas.openxmlformats.org/officeDocument/2006/relationships/sharedStrings" Target="/xl/sharedStrings.xml" Id="Rb15e427a0eb54f7e" /><Relationship Type="http://schemas.openxmlformats.org/officeDocument/2006/relationships/worksheet" Target="/xl/worksheets/sheet1.xml" Id="Rb1c35f41074b4fe0" /><Relationship Type="http://schemas.openxmlformats.org/officeDocument/2006/relationships/worksheet" Target="/xl/worksheets/sheet2.xml" Id="Rca70976c8f974e7f" /><Relationship Type="http://schemas.openxmlformats.org/officeDocument/2006/relationships/worksheet" Target="/xl/worksheets/sheet3.xml" Id="Rd3129dc2649f4e0b" /><Relationship Type="http://schemas.openxmlformats.org/officeDocument/2006/relationships/worksheet" Target="/xl/worksheets/sheet4.xml" Id="R8a54fd034c15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</x:cols>
  <x:sheetData>
    <x:row r="1" ht="32" customHeight="1">
      <x:c r="A1" s="3" t="str">
        <x:v>KICKSTARTER KICKSTARTER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Reusable campaign control workbook · replace blue-labeled assumptions, preserve formulas and evidence gates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Campaign</x:v>
      </x:c>
      <x:c r="B4" s="11" t="str">
        <x:v>Voiceish / Condone Numbers example</x:v>
      </x:c>
      <x:c r="C4" s="11" t="str">
        <x:v>Status</x:v>
      </x:c>
      <x:c r="D4" s="11" t="str">
        <x:v>Discussion draft</x:v>
      </x:c>
    </x:row>
    <x:row r="5">
      <x:c r="A5" s="12" t="str">
        <x:v>Funding goal</x:v>
      </x:c>
      <x:c r="B5" s="13" t="n">
        <x:v>50000</x:v>
      </x:c>
      <x:c r="C5" s="11" t="str">
        <x:v>Currency</x:v>
      </x:c>
      <x:c r="D5" s="11" t="str">
        <x:v>USD</x:v>
      </x:c>
    </x:row>
    <x:row r="6">
      <x:c r="A6" s="12" t="str">
        <x:v>Prelaunch followers</x:v>
      </x:c>
      <x:c r="B6" s="11" t="n">
        <x:v>0</x:v>
      </x:c>
      <x:c r="C6" s="11" t="str">
        <x:v>Launch date</x:v>
      </x:c>
      <x:c r="D6" s="11" t="str">
        <x:v>TBD</x:v>
      </x:c>
    </x:row>
    <x:row r="7">
      <x:c r="A7" s="12" t="str">
        <x:v>Email waitlist</x:v>
      </x:c>
      <x:c r="B7" s="11" t="n">
        <x:v>0</x:v>
      </x:c>
      <x:c r="C7" s="11" t="str">
        <x:v>Target conversion</x:v>
      </x:c>
      <x:c r="D7" s="14" t="n">
        <x:v>0.05</x:v>
      </x:c>
    </x:row>
    <x:row r="10" ht="30" customHeight="1">
      <x:c r="A10" s="19" t="str">
        <x:v>Calculated readiness</x:v>
      </x:c>
      <x:c r="B10" s="19" t="str">
        <x:v>Value</x:v>
      </x:c>
    </x:row>
    <x:row r="11">
      <x:c r="A11" s="23" t="str">
        <x:v>Weighted launch readiness</x:v>
      </x:c>
      <x:c r="B11" s="24" t="n">
        <x:f>SUMPRODUCT('Asset Matrix'!$F$4:$F$15,'Asset Matrix'!$G$4:$G$15)/SUM('Asset Matrix'!$F$4:$F$15)</x:f>
        <x:v>0.0575</x:v>
      </x:c>
    </x:row>
    <x:row r="12">
      <x:c r="A12" s="23" t="str">
        <x:v>Validated claims</x:v>
      </x:c>
      <x:c r="B12" s="23" t="n">
        <x:f>COUNTIF('Claim Ledger'!$F$4:$F$15,"Approved")</x:f>
        <x:v>1</x:v>
      </x:c>
    </x:row>
    <x:row r="13">
      <x:c r="A13" s="23" t="str">
        <x:v>Assets complete</x:v>
      </x:c>
      <x:c r="B13" s="23" t="n">
        <x:f>COUNTIF('Asset Matrix'!$E$4:$E$15,"Complete")</x:f>
        <x:v>0</x:v>
      </x:c>
    </x:row>
    <x:row r="14">
      <x:c r="A14" s="23" t="str">
        <x:v>Projected reward contribution</x:v>
      </x:c>
      <x:c r="B14" s="25" t="n">
        <x:f>SUM('Reward Economics'!$K$4:$K$12)</x:f>
        <x:v>86368.5</x:v>
      </x:c>
    </x:row>
    <x:row r="17" ht="40" customHeight="1">
      <x:c r="A17" s="12" t="str">
        <x:v>Voiceish example positioning</x:v>
      </x:c>
      <x:c r="B17" s="11" t="str">
        <x:v>Come for the APK; stay for inexpensive categorized DIDs. Come for a DID; discover a route-safe inbox and native Android gateway.</x:v>
      </x:c>
    </x:row>
    <x:row r="18" ht="40" customHeight="1">
      <x:c r="A18" s="12" t="str">
        <x:v>Required qualifier</x:v>
      </x:c>
      <x:c r="B18" s="11" t="str">
        <x:v>No app-side per-message meter. Carrier/provider charges, taxes, fair-use and plan restrictions still apply.</x:v>
      </x:c>
    </x:row>
    <x:row r="19" ht="40" customHeight="1">
      <x:c r="A19" s="12" t="str">
        <x:v>Evidence red line</x:v>
      </x:c>
      <x:c r="B19" s="11" t="str">
        <x:v>Do not claim synthetic SIM warming creates carrier trust or prevents suspension.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28" hidden="0" customWidth="1"/>
  </x:cols>
  <x:sheetData>
    <x:row r="1" ht="32" customHeight="1">
      <x:c r="A1" s="3" t="str">
        <x:v>REWARD ECONOMICS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Editable assumptions in blue. Contribution is calculated before fixed campaign costs and taxes.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0" customHeight="1">
      <x:c r="A3" s="19" t="str">
        <x:v>Tier</x:v>
      </x:c>
      <x:c r="B3" s="19" t="str">
        <x:v>Reward</x:v>
      </x:c>
      <x:c r="C3" s="19" t="str">
        <x:v>Pledge</x:v>
      </x:c>
      <x:c r="D3" s="19" t="str">
        <x:v>Qty</x:v>
      </x:c>
      <x:c r="E3" s="19" t="str">
        <x:v>COGS</x:v>
      </x:c>
      <x:c r="F3" s="19" t="str">
        <x:v>Fees</x:v>
      </x:c>
      <x:c r="G3" s="19" t="str">
        <x:v>Fulfillment</x:v>
      </x:c>
      <x:c r="H3" s="19" t="str">
        <x:v>Support reserve</x:v>
      </x:c>
      <x:c r="I3" s="19" t="str">
        <x:v>Tax reserve</x:v>
      </x:c>
      <x:c r="J3" s="19" t="str">
        <x:v>Other</x:v>
      </x:c>
      <x:c r="K3" s="19" t="str">
        <x:v>Contribution</x:v>
      </x:c>
      <x:c r="L3" s="19" t="str">
        <x:v>Notes</x:v>
      </x:c>
    </x:row>
    <x:row r="4">
      <x:c r="A4" s="23" t="str">
        <x:v>R1</x:v>
      </x:c>
      <x:c r="B4" s="23" t="str">
        <x:v>Supporter / updates</x:v>
      </x:c>
      <x:c r="C4" s="27" t="n">
        <x:v>10</x:v>
      </x:c>
      <x:c r="D4" s="27" t="n">
        <x:v>1</x:v>
      </x:c>
      <x:c r="E4" s="27" t="n">
        <x:v>0</x:v>
      </x:c>
      <x:c r="F4" s="27" t="n">
        <x:v>1</x:v>
      </x:c>
      <x:c r="G4" s="27" t="n">
        <x:v>0.5</x:v>
      </x:c>
      <x:c r="H4" s="27" t="n">
        <x:v>0</x:v>
      </x:c>
      <x:c r="I4" s="27" t="n">
        <x:v>0</x:v>
      </x:c>
      <x:c r="J4" s="27" t="n">
        <x:v>0</x:v>
      </x:c>
      <x:c r="K4" s="26" t="n">
        <x:f>(C4-E4-F4-G4-H4-I4-J4)*D4</x:f>
        <x:v>8.5</x:v>
      </x:c>
      <x:c r="L4" s="23" t="str">
        <x:v>Digital thank-you</x:v>
      </x:c>
    </x:row>
    <x:row r="5">
      <x:c r="A5" s="23" t="str">
        <x:v>R2</x:v>
      </x:c>
      <x:c r="B5" s="23" t="str">
        <x:v>Early APK</x:v>
      </x:c>
      <x:c r="C5" s="27" t="n">
        <x:v>49</x:v>
      </x:c>
      <x:c r="D5" s="27" t="n">
        <x:v>250</x:v>
      </x:c>
      <x:c r="E5" s="27" t="n">
        <x:v>4</x:v>
      </x:c>
      <x:c r="F5" s="27" t="n">
        <x:v>3</x:v>
      </x:c>
      <x:c r="G5" s="27" t="n">
        <x:v>2</x:v>
      </x:c>
      <x:c r="H5" s="27" t="n">
        <x:v>0</x:v>
      </x:c>
      <x:c r="I5" s="27" t="n">
        <x:v>0</x:v>
      </x:c>
      <x:c r="J5" s="27" t="n">
        <x:v>0</x:v>
      </x:c>
      <x:c r="K5" s="26" t="n">
        <x:f>(C5-E5-F5-G5-H5-I5-J5)*D5</x:f>
        <x:v>10000</x:v>
      </x:c>
      <x:c r="L5" s="23" t="str">
        <x:v>One household/device license</x:v>
      </x:c>
    </x:row>
    <x:row r="6">
      <x:c r="A6" s="23" t="str">
        <x:v>R3</x:v>
      </x:c>
      <x:c r="B6" s="23" t="str">
        <x:v>APK + first DID setup</x:v>
      </x:c>
      <x:c r="C6" s="27" t="n">
        <x:v>79</x:v>
      </x:c>
      <x:c r="D6" s="27" t="n">
        <x:v>300</x:v>
      </x:c>
      <x:c r="E6" s="27" t="n">
        <x:v>8</x:v>
      </x:c>
      <x:c r="F6" s="27" t="n">
        <x:v>4</x:v>
      </x:c>
      <x:c r="G6" s="27" t="n">
        <x:v>3</x:v>
      </x:c>
      <x:c r="H6" s="27" t="n">
        <x:v>8</x:v>
      </x:c>
      <x:c r="I6" s="27" t="n">
        <x:v>0</x:v>
      </x:c>
      <x:c r="J6" s="27" t="n">
        <x:v>0</x:v>
      </x:c>
      <x:c r="K6" s="26" t="n">
        <x:f>(C6-E6-F6-G6-H6-I6-J6)*D6</x:f>
        <x:v>16800</x:v>
      </x:c>
      <x:c r="L6" s="23" t="str">
        <x:v>DID recurring costs after included period disclosed</x:v>
      </x:c>
    </x:row>
    <x:row r="7">
      <x:c r="A7" s="23" t="str">
        <x:v>R4</x:v>
      </x:c>
      <x:c r="B7" s="23" t="str">
        <x:v>Family identity pack</x:v>
      </x:c>
      <x:c r="C7" s="27" t="n">
        <x:v>129</x:v>
      </x:c>
      <x:c r="D7" s="27" t="n">
        <x:v>150</x:v>
      </x:c>
      <x:c r="E7" s="27" t="n">
        <x:v>15</x:v>
      </x:c>
      <x:c r="F7" s="27" t="n">
        <x:v>7</x:v>
      </x:c>
      <x:c r="G7" s="27" t="n">
        <x:v>5</x:v>
      </x:c>
      <x:c r="H7" s="27" t="n">
        <x:v>12</x:v>
      </x:c>
      <x:c r="I7" s="27" t="n">
        <x:v>0</x:v>
      </x:c>
      <x:c r="J7" s="27" t="n">
        <x:v>0</x:v>
      </x:c>
      <x:c r="K7" s="26" t="n">
        <x:f>(C7-E7-F7-G7-H7-I7-J7)*D7</x:f>
        <x:v>13500</x:v>
      </x:c>
      <x:c r="L7" s="23" t="str">
        <x:v>Multiple categorized identities</x:v>
      </x:c>
    </x:row>
    <x:row r="8">
      <x:c r="A8" s="23" t="str">
        <x:v>R5</x:v>
      </x:c>
      <x:c r="B8" s="23" t="str">
        <x:v>Small-business founder pack</x:v>
      </x:c>
      <x:c r="C8" s="27" t="n">
        <x:v>249</x:v>
      </x:c>
      <x:c r="D8" s="27" t="n">
        <x:v>100</x:v>
      </x:c>
      <x:c r="E8" s="27" t="n">
        <x:v>35</x:v>
      </x:c>
      <x:c r="F8" s="27" t="n">
        <x:v>12</x:v>
      </x:c>
      <x:c r="G8" s="27" t="n">
        <x:v>10</x:v>
      </x:c>
      <x:c r="H8" s="27" t="n">
        <x:v>20</x:v>
      </x:c>
      <x:c r="I8" s="27" t="n">
        <x:v>0</x:v>
      </x:c>
      <x:c r="J8" s="27" t="n">
        <x:v>0</x:v>
      </x:c>
      <x:c r="K8" s="26" t="n">
        <x:f>(C8-E8-F8-G8-H8-I8-J8)*D8</x:f>
        <x:v>17200</x:v>
      </x:c>
      <x:c r="L8" s="23" t="str">
        <x:v>Gateway + hosted-service credit</x:v>
      </x:c>
    </x:row>
    <x:row r="9">
      <x:c r="A9" s="23" t="str">
        <x:v>R6</x:v>
      </x:c>
      <x:c r="B9" s="23" t="str">
        <x:v>Self-host pioneer</x:v>
      </x:c>
      <x:c r="C9" s="27" t="n">
        <x:v>599</x:v>
      </x:c>
      <x:c r="D9" s="27" t="n">
        <x:v>30</x:v>
      </x:c>
      <x:c r="E9" s="27" t="n">
        <x:v>90</x:v>
      </x:c>
      <x:c r="F9" s="27" t="n">
        <x:v>20</x:v>
      </x:c>
      <x:c r="G9" s="27" t="n">
        <x:v>15</x:v>
      </x:c>
      <x:c r="H9" s="27" t="n">
        <x:v>35</x:v>
      </x:c>
      <x:c r="I9" s="27" t="n">
        <x:v>0</x:v>
      </x:c>
      <x:c r="J9" s="27" t="n">
        <x:v>0</x:v>
      </x:c>
      <x:c r="K9" s="26" t="n">
        <x:f>(C9-E9-F9-G9-H9-I9-J9)*D9</x:f>
        <x:v>13170</x:v>
      </x:c>
      <x:c r="L9" s="23" t="str">
        <x:v>License boundary and maintenance explicit</x:v>
      </x:c>
    </x:row>
    <x:row r="10">
      <x:c r="A10" s="23" t="str">
        <x:v>R7</x:v>
      </x:c>
      <x:c r="B10" s="23" t="str">
        <x:v>Reseller design partner</x:v>
      </x:c>
      <x:c r="C10" s="27" t="n">
        <x:v>1499</x:v>
      </x:c>
      <x:c r="D10" s="27" t="n">
        <x:v>10</x:v>
      </x:c>
      <x:c r="E10" s="27" t="n">
        <x:v>220</x:v>
      </x:c>
      <x:c r="F10" s="27" t="n">
        <x:v>40</x:v>
      </x:c>
      <x:c r="G10" s="27" t="n">
        <x:v>35</x:v>
      </x:c>
      <x:c r="H10" s="27" t="n">
        <x:v>90</x:v>
      </x:c>
      <x:c r="I10" s="27" t="n">
        <x:v>0</x:v>
      </x:c>
      <x:c r="J10" s="27" t="n">
        <x:v>0</x:v>
      </x:c>
      <x:c r="K10" s="26" t="n">
        <x:f>(C10-E10-F10-G10-H10-I10-J10)*D10</x:f>
        <x:v>11140</x:v>
      </x:c>
      <x:c r="L10" s="23" t="str">
        <x:v>No exclusivity unless contracted</x:v>
      </x:c>
    </x:row>
    <x:row r="11">
      <x:c r="A11" s="23" t="str">
        <x:v>R8</x:v>
      </x:c>
      <x:c r="B11" s="23" t="str">
        <x:v>Add-on device</x:v>
      </x:c>
      <x:c r="C11" s="27" t="n">
        <x:v>35</x:v>
      </x:c>
      <x:c r="D11" s="27" t="n">
        <x:v>100</x:v>
      </x:c>
      <x:c r="E11" s="27" t="n">
        <x:v>3</x:v>
      </x:c>
      <x:c r="F11" s="27" t="n">
        <x:v>2</x:v>
      </x:c>
      <x:c r="G11" s="27" t="n">
        <x:v>1</x:v>
      </x:c>
      <x:c r="H11" s="27" t="n">
        <x:v>0</x:v>
      </x:c>
      <x:c r="I11" s="27" t="n">
        <x:v>0</x:v>
      </x:c>
      <x:c r="J11" s="27" t="n">
        <x:v>0</x:v>
      </x:c>
      <x:c r="K11" s="26" t="n">
        <x:f>(C11-E11-F11-G11-H11-I11-J11)*D11</x:f>
        <x:v>2900</x:v>
      </x:c>
      <x:c r="L11" s="23" t="str">
        <x:v>Only valid with eligible tier</x:v>
      </x:c>
    </x:row>
    <x:row r="12">
      <x:c r="A12" s="23" t="str">
        <x:v>R9</x:v>
      </x:c>
      <x:c r="B12" s="23" t="str">
        <x:v>Add-on DID setup</x:v>
      </x:c>
      <x:c r="C12" s="27" t="n">
        <x:v>20</x:v>
      </x:c>
      <x:c r="D12" s="27" t="n">
        <x:v>150</x:v>
      </x:c>
      <x:c r="E12" s="27" t="n">
        <x:v>2</x:v>
      </x:c>
      <x:c r="F12" s="27" t="n">
        <x:v>1</x:v>
      </x:c>
      <x:c r="G12" s="27" t="n">
        <x:v>1</x:v>
      </x:c>
      <x:c r="H12" s="27" t="n">
        <x:v>5</x:v>
      </x:c>
      <x:c r="I12" s="27" t="n">
        <x:v>0</x:v>
      </x:c>
      <x:c r="J12" s="27" t="n">
        <x:v>0</x:v>
      </x:c>
      <x:c r="K12" s="26" t="n">
        <x:f>(C12-E12-F12-G12-H12-I12-J12)*D12</x:f>
        <x:v>1650</x:v>
      </x:c>
      <x:c r="L12" s="23" t="str">
        <x:v>Does not include ongoing provider costs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18" hidden="0" customWidth="1"/>
    <x:col min="4" max="4" width="47" hidden="0" customWidth="1"/>
    <x:col min="5" max="5" width="42" hidden="0" customWidth="1"/>
    <x:col min="6" max="6" width="15" hidden="0" customWidth="1"/>
    <x:col min="7" max="7" width="20" hidden="0" customWidth="1"/>
    <x:col min="8" max="8" width="35" hidden="0" customWidth="1"/>
  </x:cols>
  <x:sheetData>
    <x:row r="1" ht="32" customHeight="1">
      <x:c r="A1" s="3" t="str">
        <x:v>CLAIM LEDGER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Every campaign claim needs an evidence owner, level, qualifier, and approval state</x:v>
      </x:c>
      <x:c r="B2" s="7"/>
      <x:c r="C2" s="7"/>
      <x:c r="D2" s="7"/>
      <x:c r="E2" s="7"/>
      <x:c r="F2" s="7"/>
      <x:c r="G2" s="7"/>
      <x:c r="H2" s="7"/>
    </x:row>
    <x:row r="3" ht="30" customHeight="1">
      <x:c r="A3" s="19" t="str">
        <x:v>ID</x:v>
      </x:c>
      <x:c r="B3" s="19" t="str">
        <x:v>Claim</x:v>
      </x:c>
      <x:c r="C3" s="19" t="str">
        <x:v>Evidence level</x:v>
      </x:c>
      <x:c r="D3" s="19" t="str">
        <x:v>Required artifact</x:v>
      </x:c>
      <x:c r="E3" s="19" t="str">
        <x:v>Qualifier</x:v>
      </x:c>
      <x:c r="F3" s="19" t="str">
        <x:v>Status</x:v>
      </x:c>
      <x:c r="G3" s="19" t="str">
        <x:v>Owner</x:v>
      </x:c>
      <x:c r="H3" s="19" t="str">
        <x:v>Notes</x:v>
      </x:c>
    </x:row>
    <x:row r="4">
      <x:c r="A4" s="23" t="str">
        <x:v>C-001</x:v>
      </x:c>
      <x:c r="B4" s="23" t="str">
        <x:v>Native Android app sends through selected SIM/eSIM</x:v>
      </x:c>
      <x:c r="C4" s="23" t="str">
        <x:v>Prototype</x:v>
      </x:c>
      <x:c r="D4" s="23" t="str">
        <x:v>Device test matrix + screen recording</x:v>
      </x:c>
      <x:c r="E4" s="23" t="str">
        <x:v>Limit to tested Android/carrier combinations</x:v>
      </x:c>
      <x:c r="F4" s="23" t="str">
        <x:v>Draft</x:v>
      </x:c>
      <x:c r="G4" s="23" t="str">
        <x:v>Engineering</x:v>
      </x:c>
      <x:c r="H4" s="23" t="str">
        <x:v>Verify before campaign launch</x:v>
      </x:c>
    </x:row>
    <x:row r="5">
      <x:c r="A5" s="23" t="str">
        <x:v>C-002</x:v>
      </x:c>
      <x:c r="B5" s="23" t="str">
        <x:v>No app-side per-message meter</x:v>
      </x:c>
      <x:c r="C5" s="23" t="str">
        <x:v>Architecture/pricing</x:v>
      </x:c>
      <x:c r="D5" s="23" t="str">
        <x:v>Published license and service boundary</x:v>
      </x:c>
      <x:c r="E5" s="23" t="str">
        <x:v>External carrier/provider fees apply</x:v>
      </x:c>
      <x:c r="F5" s="23" t="str">
        <x:v>Approved</x:v>
      </x:c>
      <x:c r="G5" s="23" t="str">
        <x:v>Product/Finance</x:v>
      </x:c>
      <x:c r="H5" s="23" t="str">
        <x:v>Keep wording exact</x:v>
      </x:c>
    </x:row>
    <x:row r="6">
      <x:c r="A6" s="23" t="str">
        <x:v>C-003</x:v>
      </x:c>
      <x:c r="B6" s="23" t="str">
        <x:v>DIDs available for categories</x:v>
      </x:c>
      <x:c r="C6" s="23" t="str">
        <x:v>Provider contract</x:v>
      </x:c>
      <x:c r="D6" s="23" t="str">
        <x:v>Current geography/number inventory</x:v>
      </x:c>
      <x:c r="E6" s="23" t="str">
        <x:v>Availability varies by region</x:v>
      </x:c>
      <x:c r="F6" s="23" t="str">
        <x:v>Draft</x:v>
      </x:c>
      <x:c r="G6" s="23" t="str">
        <x:v>Operations</x:v>
      </x:c>
      <x:c r="H6" s="23" t="str">
        <x:v>Confirm before page publish</x:v>
      </x:c>
    </x:row>
    <x:row r="7">
      <x:c r="A7" s="23" t="str">
        <x:v>C-004</x:v>
      </x:c>
      <x:c r="B7" s="23" t="str">
        <x:v>No silent route fallback</x:v>
      </x:c>
      <x:c r="C7" s="23" t="str">
        <x:v>Acceptance test</x:v>
      </x:c>
      <x:c r="D7" s="23" t="str">
        <x:v>Automated route-unavailable tests</x:v>
      </x:c>
      <x:c r="E7" s="23" t="str">
        <x:v>Applies to all supported adapters</x:v>
      </x:c>
      <x:c r="F7" s="23" t="str">
        <x:v>Draft</x:v>
      </x:c>
      <x:c r="G7" s="23" t="str">
        <x:v>Engineering</x:v>
      </x:c>
      <x:c r="H7" s="23" t="str">
        <x:v>Release gate</x:v>
      </x:c>
    </x:row>
    <x:row r="8">
      <x:c r="A8" s="23" t="str">
        <x:v>C-005</x:v>
      </x:c>
      <x:c r="B8" s="23" t="str">
        <x:v>Route Readiness reduces operational surprises</x:v>
      </x:c>
      <x:c r="C8" s="23" t="str">
        <x:v>Product test</x:v>
      </x:c>
      <x:c r="D8" s="23" t="str">
        <x:v>Explainability/usability study</x:v>
      </x:c>
      <x:c r="E8" s="23" t="str">
        <x:v>Not a carrier-reputation guarantee</x:v>
      </x:c>
      <x:c r="F8" s="23" t="str">
        <x:v>Draft</x:v>
      </x:c>
      <x:c r="G8" s="23" t="str">
        <x:v>Research</x:v>
      </x:c>
      <x:c r="H8" s="23" t="str">
        <x:v>Do not convert into deliverability claim</x:v>
      </x:c>
    </x:row>
    <x:row r="9">
      <x:c r="A9" s="23" t="str">
        <x:v>C-006</x:v>
      </x:c>
      <x:c r="B9" s="23" t="str">
        <x:v>Synthetic warming improves carrier trust</x:v>
      </x:c>
      <x:c r="C9" s="23" t="str">
        <x:v>None found</x:v>
      </x:c>
      <x:c r="D9" s="23" t="str">
        <x:v>No controlled evidence found</x:v>
      </x:c>
      <x:c r="E9" s="23" t="str">
        <x:v>Do not use</x:v>
      </x:c>
      <x:c r="F9" s="23" t="str">
        <x:v>Rejected</x:v>
      </x:c>
      <x:c r="G9" s="23" t="str">
        <x:v>Product/Legal</x:v>
      </x:c>
      <x:c r="H9" s="23" t="str">
        <x:v>Red line</x:v>
      </x:c>
    </x:row>
    <x:row r="10">
      <x:c r="A10" s="23" t="str">
        <x:v>C-007</x:v>
      </x:c>
      <x:c r="B10" s="23" t="str">
        <x:v>Verification codes are protected</x:v>
      </x:c>
      <x:c r="C10" s="23" t="str">
        <x:v>Security test</x:v>
      </x:c>
      <x:c r="D10" s="23" t="str">
        <x:v>Threat model + test report</x:v>
      </x:c>
      <x:c r="E10" s="23" t="str">
        <x:v>No guarantee of account security</x:v>
      </x:c>
      <x:c r="F10" s="23" t="str">
        <x:v>Draft</x:v>
      </x:c>
      <x:c r="G10" s="23" t="str">
        <x:v>Security</x:v>
      </x:c>
      <x:c r="H10" s="23" t="str">
        <x:v>Complete before API beta</x:v>
      </x:c>
    </x:row>
  </x:sheetData>
  <x:mergeCells>
    <x:mergeCell ref="A1:H1"/>
    <x:mergeCell ref="A2:H2"/>
  </x:mergeCells>
  <x:dataValidations count="1">
    <x:dataValidation type="list" sqref="F4:F15">
      <x:formula1>"Draft,Approved,Rejected"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38" hidden="0" customWidth="1"/>
    <x:col min="4" max="4" width="20" hidden="0" customWidth="1"/>
    <x:col min="5" max="5" width="18" hidden="0" customWidth="1"/>
    <x:col min="6" max="6" width="12" hidden="0" customWidth="1"/>
    <x:col min="7" max="7" width="16" hidden="0" customWidth="1"/>
    <x:col min="8" max="8" width="34" hidden="0" customWidth="1"/>
  </x:cols>
  <x:sheetData>
    <x:row r="1" ht="32" customHeight="1">
      <x:c r="A1" s="3" t="str">
        <x:v>ASSET MATRIX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Campaign assets, weights, and completion scores feed the Launch Dashboard</x:v>
      </x:c>
      <x:c r="B2" s="7"/>
      <x:c r="C2" s="7"/>
      <x:c r="D2" s="7"/>
      <x:c r="E2" s="7"/>
      <x:c r="F2" s="7"/>
      <x:c r="G2" s="7"/>
      <x:c r="H2" s="7"/>
    </x:row>
    <x:row r="3" ht="30" customHeight="1">
      <x:c r="A3" s="19" t="str">
        <x:v>ID</x:v>
      </x:c>
      <x:c r="B3" s="19" t="str">
        <x:v>Asset</x:v>
      </x:c>
      <x:c r="C3" s="19" t="str">
        <x:v>Purpose</x:v>
      </x:c>
      <x:c r="D3" s="19" t="str">
        <x:v>Owner</x:v>
      </x:c>
      <x:c r="E3" s="19" t="str">
        <x:v>Status</x:v>
      </x:c>
      <x:c r="F3" s="19" t="str">
        <x:v>Weight</x:v>
      </x:c>
      <x:c r="G3" s="19" t="str">
        <x:v>Completion</x:v>
      </x:c>
      <x:c r="H3" s="19" t="str">
        <x:v>Acceptance note</x:v>
      </x:c>
    </x:row>
    <x:row r="4">
      <x:c r="A4" s="23" t="str">
        <x:v>A-001</x:v>
      </x:c>
      <x:c r="B4" s="23" t="str">
        <x:v>Hero still</x:v>
      </x:c>
      <x:c r="C4" s="23" t="str">
        <x:v>Android + SaaS route selection in one image</x:v>
      </x:c>
      <x:c r="D4" s="23" t="str">
        <x:v>Design</x:v>
      </x:c>
      <x:c r="E4" s="23" t="str">
        <x:v>Not started</x:v>
      </x:c>
      <x:c r="F4" s="23" t="n">
        <x:v>12</x:v>
      </x:c>
      <x:c r="G4" s="24" t="n">
        <x:v>0</x:v>
      </x:c>
      <x:c r="H4" s="23" t="str">
        <x:v>Must match approved product direction</x:v>
      </x:c>
    </x:row>
    <x:row r="5">
      <x:c r="A5" s="23" t="str">
        <x:v>A-002</x:v>
      </x:c>
      <x:c r="B5" s="23" t="str">
        <x:v>90-second campaign video</x:v>
      </x:c>
      <x:c r="C5" s="23" t="str">
        <x:v>Problem → route lock → DID/APK flywheel</x:v>
      </x:c>
      <x:c r="D5" s="23" t="str">
        <x:v>Founder/Video</x:v>
      </x:c>
      <x:c r="E5" s="23" t="str">
        <x:v>Not started</x:v>
      </x:c>
      <x:c r="F5" s="23" t="n">
        <x:v>15</x:v>
      </x:c>
      <x:c r="G5" s="24" t="n">
        <x:v>0</x:v>
      </x:c>
      <x:c r="H5" s="23" t="str">
        <x:v>Use real prototype footage where possible</x:v>
      </x:c>
    </x:row>
    <x:row r="6">
      <x:c r="A6" s="23" t="str">
        <x:v>A-003</x:v>
      </x:c>
      <x:c r="B6" s="23" t="str">
        <x:v>Android pairing demo</x:v>
      </x:c>
      <x:c r="C6" s="23" t="str">
        <x:v>QR, SIM naming, capability test</x:v>
      </x:c>
      <x:c r="D6" s="23" t="str">
        <x:v>Engineering</x:v>
      </x:c>
      <x:c r="E6" s="23" t="str">
        <x:v>Not started</x:v>
      </x:c>
      <x:c r="F6" s="23" t="n">
        <x:v>10</x:v>
      </x:c>
      <x:c r="G6" s="24" t="n">
        <x:v>0</x:v>
      </x:c>
      <x:c r="H6" s="23" t="str">
        <x:v>Show failure recovery</x:v>
      </x:c>
    </x:row>
    <x:row r="7">
      <x:c r="A7" s="23" t="str">
        <x:v>A-004</x:v>
      </x:c>
      <x:c r="B7" s="23" t="str">
        <x:v>Voiceish inbox demo</x:v>
      </x:c>
      <x:c r="C7" s="23" t="str">
        <x:v>Route-bound conversation and events</x:v>
      </x:c>
      <x:c r="D7" s="23" t="str">
        <x:v>Engineering</x:v>
      </x:c>
      <x:c r="E7" s="23" t="str">
        <x:v>Not started</x:v>
      </x:c>
      <x:c r="F7" s="23" t="n">
        <x:v>10</x:v>
      </x:c>
      <x:c r="G7" s="24" t="n">
        <x:v>0</x:v>
      </x:c>
      <x:c r="H7" s="23" t="str">
        <x:v>Never fake delivery states</x:v>
      </x:c>
    </x:row>
    <x:row r="8">
      <x:c r="A8" s="23" t="str">
        <x:v>A-005</x:v>
      </x:c>
      <x:c r="B8" s="23" t="str">
        <x:v>Architecture visual</x:v>
      </x:c>
      <x:c r="C8" s="23" t="str">
        <x:v>Device, control plane, adapters, clients</x:v>
      </x:c>
      <x:c r="D8" s="23" t="str">
        <x:v>Design</x:v>
      </x:c>
      <x:c r="E8" s="23" t="str">
        <x:v>Draft</x:v>
      </x:c>
      <x:c r="F8" s="23" t="n">
        <x:v>6</x:v>
      </x:c>
      <x:c r="G8" s="24" t="n">
        <x:v>0.25</x:v>
      </x:c>
      <x:c r="H8" s="23" t="str">
        <x:v>Explain credential boundary</x:v>
      </x:c>
    </x:row>
    <x:row r="9">
      <x:c r="A9" s="23" t="str">
        <x:v>A-006</x:v>
      </x:c>
      <x:c r="B9" s="23" t="str">
        <x:v>Reward table</x:v>
      </x:c>
      <x:c r="C9" s="23" t="str">
        <x:v>Inclusions and ongoing external costs</x:v>
      </x:c>
      <x:c r="D9" s="23" t="str">
        <x:v>Finance</x:v>
      </x:c>
      <x:c r="E9" s="23" t="str">
        <x:v>Draft</x:v>
      </x:c>
      <x:c r="F9" s="23" t="n">
        <x:v>8</x:v>
      </x:c>
      <x:c r="G9" s="24" t="n">
        <x:v>0.25</x:v>
      </x:c>
      <x:c r="H9" s="23" t="str">
        <x:v>Avoid hidden recurring service</x:v>
      </x:c>
    </x:row>
    <x:row r="10">
      <x:c r="A10" s="23" t="str">
        <x:v>A-007</x:v>
      </x:c>
      <x:c r="B10" s="23" t="str">
        <x:v>Budget and timeline</x:v>
      </x:c>
      <x:c r="C10" s="23" t="str">
        <x:v>Use-of-funds and milestones</x:v>
      </x:c>
      <x:c r="D10" s="23" t="str">
        <x:v>Founder</x:v>
      </x:c>
      <x:c r="E10" s="23" t="str">
        <x:v>Not started</x:v>
      </x:c>
      <x:c r="F10" s="23" t="n">
        <x:v>8</x:v>
      </x:c>
      <x:c r="G10" s="24" t="n">
        <x:v>0</x:v>
      </x:c>
      <x:c r="H10" s="23" t="str">
        <x:v>Include contingency</x:v>
      </x:c>
    </x:row>
    <x:row r="11">
      <x:c r="A11" s="23" t="str">
        <x:v>A-008</x:v>
      </x:c>
      <x:c r="B11" s="23" t="str">
        <x:v>Risks and challenges</x:v>
      </x:c>
      <x:c r="C11" s="23" t="str">
        <x:v>Carrier, Android, provider, support</x:v>
      </x:c>
      <x:c r="D11" s="23" t="str">
        <x:v>Legal/Product</x:v>
      </x:c>
      <x:c r="E11" s="23" t="str">
        <x:v>Draft</x:v>
      </x:c>
      <x:c r="F11" s="23" t="n">
        <x:v>9</x:v>
      </x:c>
      <x:c r="G11" s="24" t="n">
        <x:v>0.25</x:v>
      </x:c>
      <x:c r="H11" s="23" t="str">
        <x:v>Plain language</x:v>
      </x:c>
    </x:row>
    <x:row r="12">
      <x:c r="A12" s="23" t="str">
        <x:v>A-009</x:v>
      </x:c>
      <x:c r="B12" s="23" t="str">
        <x:v>FAQ</x:v>
      </x:c>
      <x:c r="C12" s="23" t="str">
        <x:v>Sideload, plans, MMS, privacy, refunds</x:v>
      </x:c>
      <x:c r="D12" s="23" t="str">
        <x:v>Product</x:v>
      </x:c>
      <x:c r="E12" s="23" t="str">
        <x:v>Not started</x:v>
      </x:c>
      <x:c r="F12" s="23" t="n">
        <x:v>6</x:v>
      </x:c>
      <x:c r="G12" s="24" t="n">
        <x:v>0</x:v>
      </x:c>
      <x:c r="H12" s="23" t="str">
        <x:v>Answer likely objections</x:v>
      </x:c>
    </x:row>
    <x:row r="13">
      <x:c r="A13" s="23" t="str">
        <x:v>A-010</x:v>
      </x:c>
      <x:c r="B13" s="23" t="str">
        <x:v>Privacy/security note</x:v>
      </x:c>
      <x:c r="C13" s="23" t="str">
        <x:v>Keys, retention, revocation</x:v>
      </x:c>
      <x:c r="D13" s="23" t="str">
        <x:v>Security</x:v>
      </x:c>
      <x:c r="E13" s="23" t="str">
        <x:v>Not started</x:v>
      </x:c>
      <x:c r="F13" s="23" t="n">
        <x:v>6</x:v>
      </x:c>
      <x:c r="G13" s="24" t="n">
        <x:v>0</x:v>
      </x:c>
      <x:c r="H13" s="23" t="str">
        <x:v>No absolute claims</x:v>
      </x:c>
    </x:row>
    <x:row r="14">
      <x:c r="A14" s="23" t="str">
        <x:v>A-011</x:v>
      </x:c>
      <x:c r="B14" s="23" t="str">
        <x:v>Prelaunch page</x:v>
      </x:c>
      <x:c r="C14" s="23" t="str">
        <x:v>Email capture and survey</x:v>
      </x:c>
      <x:c r="D14" s="23" t="str">
        <x:v>Growth</x:v>
      </x:c>
      <x:c r="E14" s="23" t="str">
        <x:v>Not started</x:v>
      </x:c>
      <x:c r="F14" s="23" t="n">
        <x:v>5</x:v>
      </x:c>
      <x:c r="G14" s="24" t="n">
        <x:v>0</x:v>
      </x:c>
      <x:c r="H14" s="23" t="str">
        <x:v>Segment DID-first vs APK-first</x:v>
      </x:c>
    </x:row>
    <x:row r="15">
      <x:c r="A15" s="23" t="str">
        <x:v>A-012</x:v>
      </x:c>
      <x:c r="B15" s="23" t="str">
        <x:v>Press kit</x:v>
      </x:c>
      <x:c r="C15" s="23" t="str">
        <x:v>Logo, screenshots, facts, founder bio</x:v>
      </x:c>
      <x:c r="D15" s="23" t="str">
        <x:v>Growth</x:v>
      </x:c>
      <x:c r="E15" s="23" t="str">
        <x:v>Not started</x:v>
      </x:c>
      <x:c r="F15" s="23" t="n">
        <x:v>5</x:v>
      </x:c>
      <x:c r="G15" s="24" t="n">
        <x:v>0</x:v>
      </x:c>
      <x:c r="H15" s="23" t="str">
        <x:v>Single current fact sheet</x:v>
      </x:c>
    </x:row>
  </x:sheetData>
  <x:mergeCells>
    <x:mergeCell ref="A1:H1"/>
    <x:mergeCell ref="A2:H2"/>
  </x:mergeCells>
  <x:dataValidations count="2">
    <x:dataValidation type="list" sqref="E4:E15">
      <x:formula1>"Not started,Draft,Review,Complete"</x:formula1>
    </x:dataValidation>
    <x:dataValidation type="decimal" operator="between" sqref="G4:G15">
      <x:formula1>0</x:formula1>
      <x:formula2>1</x:formula2>
    </x:dataValidation>
  </x:dataValidations>
  <x:pageMargins left="0.7" right="0.7" top="0.75" bottom="0.75" header="0.3" footer="0.3"/>
</x:worksheet>
</file>